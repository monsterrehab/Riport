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thinktwicekft-my.sharepoint.com/personal/bmeszaros_thinktwice_hu/Documents/PÜV/TT-TGO/04 Xiaomi/Riportsablon/"/>
    </mc:Choice>
  </mc:AlternateContent>
  <xr:revisionPtr revIDLastSave="12" documentId="13_ncr:1_{4E298454-2532-4F0E-9111-BA32AD15BC52}" xr6:coauthVersionLast="47" xr6:coauthVersionMax="47" xr10:uidLastSave="{418BD8C6-CEC0-43D3-9AD6-39B1525E2FB7}"/>
  <bookViews>
    <workbookView xWindow="4245" yWindow="4245" windowWidth="38700" windowHeight="15210" activeTab="1" xr2:uid="{00000000-000D-0000-FFFF-FFFF00000000}"/>
  </bookViews>
  <sheets>
    <sheet name="Riport" sheetId="1" r:id="rId1"/>
    <sheet name="Fókusz" sheetId="4" r:id="rId2"/>
  </sheets>
  <definedNames>
    <definedName name="_xlnm._FilterDatabase" localSheetId="0" hidden="1">Riport!$A$1:$L$100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1" l="1"/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E2" i="1"/>
</calcChain>
</file>

<file path=xl/sharedStrings.xml><?xml version="1.0" encoding="utf-8"?>
<sst xmlns="http://schemas.openxmlformats.org/spreadsheetml/2006/main" count="80" uniqueCount="80">
  <si>
    <t>Név</t>
  </si>
  <si>
    <t>Üzlet</t>
  </si>
  <si>
    <t>Hét</t>
  </si>
  <si>
    <t>Dátum</t>
  </si>
  <si>
    <t>Nap</t>
  </si>
  <si>
    <t>Ledolgozott óraszám</t>
  </si>
  <si>
    <t>Megszólított vásárlók száma</t>
  </si>
  <si>
    <t>Eladott termék polcár</t>
  </si>
  <si>
    <t>Eladott darabszám</t>
  </si>
  <si>
    <t>Komment</t>
  </si>
  <si>
    <t>Eladott típus</t>
  </si>
  <si>
    <t>Milyen termék hiányzik/mit rendeltetnél?</t>
  </si>
  <si>
    <t>Példa János</t>
  </si>
  <si>
    <t>MM Árkád</t>
  </si>
  <si>
    <t>Típus</t>
  </si>
  <si>
    <t>Mi Air Purifier 4 EU/BHR5096GL</t>
  </si>
  <si>
    <t>Xiaomi Router AC1200 EU/DVB4330GL</t>
  </si>
  <si>
    <t>Mi Portable Photo Printer 1S EU / BHR6747GL</t>
  </si>
  <si>
    <t>Mi 33W Wall Charger (Type-A + Type-C) EU/BHR4996GL</t>
  </si>
  <si>
    <t>Mi Portable Photo Printer</t>
  </si>
  <si>
    <t>Xiaomi WiFi Range Extender N300 / DVB4398GL</t>
  </si>
  <si>
    <t>Redmi Note 13 Pro + 5G</t>
  </si>
  <si>
    <t>Konkurencia</t>
  </si>
  <si>
    <t>! 
Tapasztalatok/észrevételek,egyéb. Ide írjatok be mindent amit csak tudtok az áruházzal, termékekkel,konkurenciával,véleméynekkel,javaslatokkal kapcsolatos.</t>
  </si>
  <si>
    <t>Kihelyezés</t>
  </si>
  <si>
    <t>!
Jelent e meg új brand?
Van e új promóter?
Van e konkurens akció? Ajándákkártya, telefon beszámítás, árukapcsolás
Konkurencia legkeresettebb terméke a héten:</t>
  </si>
  <si>
    <t>OTHER Mobil</t>
  </si>
  <si>
    <t>No Sale</t>
  </si>
  <si>
    <t>OTHER AIOT</t>
  </si>
  <si>
    <r>
      <t>!
Melyik DEMO készülék hiányzik?</t>
    </r>
    <r>
      <rPr>
        <b/>
        <sz val="11"/>
        <color rgb="FFFF0000"/>
        <rFont val="Calibri"/>
        <family val="2"/>
        <charset val="238"/>
        <scheme val="minor"/>
      </rPr>
      <t xml:space="preserve"> FONTOS Kérlek pontos típust adj (szín, memória kivitel)</t>
    </r>
    <r>
      <rPr>
        <sz val="11"/>
        <color theme="1"/>
        <rFont val="Calibri"/>
        <family val="2"/>
        <charset val="238"/>
        <scheme val="minor"/>
      </rPr>
      <t xml:space="preserve">
Planogram rendben van-e? Készülékek ki vannak helyezve, azok működnek?</t>
    </r>
  </si>
  <si>
    <r>
      <t xml:space="preserve">  !
</t>
    </r>
    <r>
      <rPr>
        <b/>
        <sz val="11"/>
        <color rgb="FFFF0000"/>
        <rFont val="Calibri"/>
        <family val="2"/>
        <charset val="238"/>
        <scheme val="minor"/>
      </rPr>
      <t>FONTOS: Kérlek pontos típust adj (szín, memória kivitel)</t>
    </r>
    <r>
      <rPr>
        <sz val="11"/>
        <color theme="1"/>
        <rFont val="Calibri"/>
        <family val="2"/>
        <charset val="238"/>
        <scheme val="minor"/>
      </rPr>
      <t xml:space="preserve">
PL.:keresett és/vagy alacsony készletszinttű típus / Readmi  nincs készleten</t>
    </r>
  </si>
  <si>
    <t>Xiaomi 14T</t>
  </si>
  <si>
    <t>Xiaomi 14T Pro</t>
  </si>
  <si>
    <t>Redmi Note 14</t>
  </si>
  <si>
    <t>Redmi Note 14 5G</t>
  </si>
  <si>
    <t>Redmi Note 14 Pro</t>
  </si>
  <si>
    <t>Redmi Note 14 Pro 5G</t>
  </si>
  <si>
    <t>Redmi Note 14 Pro+ 5G</t>
  </si>
  <si>
    <t>Xiaomi 15</t>
  </si>
  <si>
    <t>Xiaomi 15 Ultra</t>
  </si>
  <si>
    <t>Redmi Pad Pro 5G</t>
  </si>
  <si>
    <t>Xiaomi Pad 7</t>
  </si>
  <si>
    <t>Xiaomi Pad 7 Pro</t>
  </si>
  <si>
    <t>Xiaomi Electric Scooter 5 GL / BHR9618GL</t>
  </si>
  <si>
    <t>Xiaomi Electric Scooter 5 Max GL / BHR9615GL</t>
  </si>
  <si>
    <t>Xiaomi Electric Scooter 5 Pro GL / BHR9611GL</t>
  </si>
  <si>
    <t>Redmi Buds 6</t>
  </si>
  <si>
    <t>Redmi Buds 6 Lite</t>
  </si>
  <si>
    <t>Redmi Buds 6 Pro</t>
  </si>
  <si>
    <t>Xiaomi Smart Band 9 Active</t>
  </si>
  <si>
    <t>Xiaomi Smart Band 9 Pro</t>
  </si>
  <si>
    <t>Redmi A5</t>
  </si>
  <si>
    <t>Redmi Pad 2 Pro</t>
  </si>
  <si>
    <t>Xiaomi 15T</t>
  </si>
  <si>
    <t>Xiaomi 15T Pro</t>
  </si>
  <si>
    <t>Xiaomi Smart Band 10</t>
  </si>
  <si>
    <t>Xiaomi Robot Vacuum S10 EU / BHR6783EU</t>
  </si>
  <si>
    <t>Redmi 15 C</t>
  </si>
  <si>
    <t>Redmi 15</t>
  </si>
  <si>
    <t>Redmi Pad 2</t>
  </si>
  <si>
    <t>Xiaomi 17</t>
  </si>
  <si>
    <t>Xiaomi 17 Ultra</t>
  </si>
  <si>
    <t xml:space="preserve">Xiaomi Pad 8 </t>
  </si>
  <si>
    <t>Xiaomi Pad 8 Pro</t>
  </si>
  <si>
    <t>Redmi Note 15 4G</t>
  </si>
  <si>
    <t>Redmi Note 15 5G</t>
  </si>
  <si>
    <t>Redmi Note 15 Pro 4G</t>
  </si>
  <si>
    <t>Redmi Note 15 Pro 5G</t>
  </si>
  <si>
    <t>Redmi Note 15 Pro+ 5G</t>
  </si>
  <si>
    <t>Xiaomi Watch 5</t>
  </si>
  <si>
    <t>Redmi Buds 8 Lite</t>
  </si>
  <si>
    <t>Redmi Buds 8 Active</t>
  </si>
  <si>
    <t>Redmi Buds 8 Pro</t>
  </si>
  <si>
    <t>Xiaomi Electric Scooter 4 Lite</t>
  </si>
  <si>
    <t>Xiaomi Electric Scooter 4 Pro</t>
  </si>
  <si>
    <t>Xiaomi Electric Scooter Elite</t>
  </si>
  <si>
    <t>XIAOMI Robotporszívó X20+ / BHR8124EU</t>
  </si>
  <si>
    <t>Xiaomi Robot Vacuum S20 EU / BHR6783EU</t>
  </si>
  <si>
    <t>Xiaomi Watch S4</t>
  </si>
  <si>
    <t>Xiaomi Watch S4 41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</si>
</sst>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t&quot;"/>
  </numFmts>
  <fonts count="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b/>
      <sz val="11"/>
      <name val="Calibri"/>
      <family val="2"/>
      <charset val="238"/>
    </font>
    <font>
      <sz val="12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1"/>
      <color rgb="FFFF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0" fontId="2" fillId="3" borderId="0" xfId="1" applyFont="1" applyFill="1" applyAlignment="1" applyProtection="1">
      <alignment vertical="center" wrapText="1"/>
      <protection locked="0"/>
    </xf>
    <xf numFmtId="0" fontId="1" fillId="3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3" borderId="0" xfId="1" applyFont="1" applyFill="1" applyAlignment="1" applyProtection="1">
      <alignment vertical="center"/>
      <protection locked="0"/>
    </xf>
    <xf numFmtId="0" fontId="0" fillId="0" borderId="0" xfId="0" applyAlignment="1">
      <alignment vertical="center" wrapText="1"/>
    </xf>
  </cellXfs>
  <cellStyles count="2">
    <cellStyle name="Jelölőszín 1" xfId="1" builtinId="29"/>
    <cellStyle name="Normál" xfId="0" builtinId="0"/>
  </cellStyles>
  <dxfs count="0"/>
  <tableStyles count="0" defaultTableStyle="TableStyleMedium2" defaultPivotStyle="PivotStyleLight16"/>
  <colors>
    <mruColors>
      <color rgb="FFFF0000"/>
      <color rgb="FFFFFF66"/>
      <color rgb="FFCC3300"/>
      <color rgb="FFA50021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workbookViewId="0">
      <pane ySplit="1" topLeftCell="A2" activePane="bottomLeft" state="frozen"/>
      <selection pane="bottomLeft" activeCell="I13" sqref="I13"/>
    </sheetView>
  </sheetViews>
  <sheetFormatPr defaultColWidth="8.7109375" defaultRowHeight="15" x14ac:dyDescent="0.25"/>
  <cols>
    <col min="1" max="2" width="18.42578125" customWidth="1"/>
    <col min="3" max="3" width="10.140625" bestFit="1" customWidth="1"/>
    <col min="4" max="4" width="9.28515625" customWidth="1"/>
    <col min="6" max="6" width="21.7109375" bestFit="1" customWidth="1"/>
    <col min="7" max="7" width="28.7109375" bestFit="1" customWidth="1"/>
    <col min="8" max="8" width="22.42578125" bestFit="1" customWidth="1"/>
    <col min="9" max="9" width="22.42578125" style="2" bestFit="1" customWidth="1"/>
    <col min="10" max="10" width="22" bestFit="1" customWidth="1"/>
    <col min="11" max="11" width="50" customWidth="1"/>
    <col min="12" max="12" width="45.5703125" customWidth="1"/>
    <col min="13" max="13" width="34.85546875" customWidth="1"/>
    <col min="14" max="14" width="49.5703125" customWidth="1"/>
  </cols>
  <sheetData>
    <row r="1" spans="1:14" ht="29.25" customHeight="1" x14ac:dyDescent="0.25">
      <c r="A1" s="4" t="s">
        <v>0</v>
      </c>
      <c r="B1" s="4" t="s">
        <v>1</v>
      </c>
      <c r="C1" s="4" t="s">
        <v>3</v>
      </c>
      <c r="D1" s="5" t="s">
        <v>2</v>
      </c>
      <c r="E1" s="5" t="s">
        <v>4</v>
      </c>
      <c r="F1" s="4" t="s">
        <v>5</v>
      </c>
      <c r="G1" s="4" t="s">
        <v>6</v>
      </c>
      <c r="H1" s="4" t="s">
        <v>8</v>
      </c>
      <c r="I1" s="4" t="s">
        <v>7</v>
      </c>
      <c r="J1" s="4" t="s">
        <v>10</v>
      </c>
      <c r="K1" s="10" t="s">
        <v>11</v>
      </c>
      <c r="L1" s="10" t="s">
        <v>22</v>
      </c>
      <c r="M1" s="10" t="s">
        <v>24</v>
      </c>
      <c r="N1" s="10" t="s">
        <v>9</v>
      </c>
    </row>
    <row r="2" spans="1:14" ht="15" customHeight="1" x14ac:dyDescent="0.25">
      <c r="A2" t="s">
        <v>12</v>
      </c>
      <c r="B2" t="s">
        <v>13</v>
      </c>
      <c r="C2" s="1">
        <v>45303</v>
      </c>
      <c r="D2">
        <f>IF(C2&lt;&gt;"",WEEKNUM(C2,2),"")</f>
        <v>2</v>
      </c>
      <c r="E2" t="str">
        <f>IF(C2&lt;&gt;"",TEXT(C2,"nnnn"),"")</f>
        <v>péntek</v>
      </c>
      <c r="F2">
        <v>8</v>
      </c>
      <c r="G2">
        <v>14</v>
      </c>
      <c r="H2">
        <v>2</v>
      </c>
      <c r="I2" s="2">
        <v>159999</v>
      </c>
      <c r="J2" t="s">
        <v>21</v>
      </c>
      <c r="K2" s="11" t="s">
        <v>30</v>
      </c>
      <c r="L2" s="11" t="s">
        <v>25</v>
      </c>
      <c r="M2" s="11" t="s">
        <v>29</v>
      </c>
      <c r="N2" s="11" t="s">
        <v>23</v>
      </c>
    </row>
    <row r="3" spans="1:14" x14ac:dyDescent="0.25">
      <c r="C3" s="1"/>
      <c r="D3" t="str">
        <f t="shared" ref="D3:D66" si="0">IF(C3&lt;&gt;"",WEEKNUM(C3,2)-1,"")</f>
        <v/>
      </c>
      <c r="E3" t="str">
        <f t="shared" ref="E3:E66" si="1">IF(C3&lt;&gt;"",TEXT(C3,"nnnn"),"")</f>
        <v/>
      </c>
      <c r="K3" s="11"/>
      <c r="L3" s="11"/>
      <c r="M3" s="11"/>
      <c r="N3" s="11"/>
    </row>
    <row r="4" spans="1:14" x14ac:dyDescent="0.25">
      <c r="C4" s="1"/>
      <c r="D4" t="str">
        <f t="shared" si="0"/>
        <v/>
      </c>
      <c r="E4" t="str">
        <f t="shared" si="1"/>
        <v/>
      </c>
      <c r="K4" s="11"/>
      <c r="L4" s="11"/>
      <c r="M4" s="11"/>
      <c r="N4" s="11"/>
    </row>
    <row r="5" spans="1:14" x14ac:dyDescent="0.25">
      <c r="C5" s="1"/>
      <c r="D5" t="str">
        <f t="shared" si="0"/>
        <v/>
      </c>
      <c r="E5" t="str">
        <f t="shared" si="1"/>
        <v/>
      </c>
      <c r="K5" s="11"/>
      <c r="L5" s="11"/>
      <c r="M5" s="11"/>
      <c r="N5" s="11"/>
    </row>
    <row r="6" spans="1:14" x14ac:dyDescent="0.25">
      <c r="C6" s="1"/>
      <c r="D6" t="str">
        <f t="shared" si="0"/>
        <v/>
      </c>
      <c r="E6" t="str">
        <f t="shared" si="1"/>
        <v/>
      </c>
      <c r="K6" s="11"/>
      <c r="L6" s="11"/>
      <c r="M6" s="11"/>
      <c r="N6" s="11"/>
    </row>
    <row r="7" spans="1:14" x14ac:dyDescent="0.25">
      <c r="C7" s="1"/>
      <c r="D7" t="str">
        <f t="shared" si="0"/>
        <v/>
      </c>
      <c r="E7" t="str">
        <f t="shared" si="1"/>
        <v/>
      </c>
      <c r="K7" s="11"/>
      <c r="L7" s="11"/>
      <c r="M7" s="11"/>
      <c r="N7" s="11"/>
    </row>
    <row r="8" spans="1:14" x14ac:dyDescent="0.25">
      <c r="C8" s="1"/>
      <c r="D8" t="str">
        <f t="shared" si="0"/>
        <v/>
      </c>
      <c r="E8" t="str">
        <f t="shared" si="1"/>
        <v/>
      </c>
      <c r="K8" s="11"/>
      <c r="L8" s="11"/>
      <c r="M8" s="11"/>
      <c r="N8" s="11"/>
    </row>
    <row r="9" spans="1:14" x14ac:dyDescent="0.25">
      <c r="C9" s="1"/>
      <c r="D9" t="str">
        <f t="shared" si="0"/>
        <v/>
      </c>
      <c r="E9" t="str">
        <f t="shared" si="1"/>
        <v/>
      </c>
      <c r="K9" s="11"/>
      <c r="L9" s="11"/>
      <c r="M9" s="11"/>
      <c r="N9" s="11"/>
    </row>
    <row r="10" spans="1:14" x14ac:dyDescent="0.25">
      <c r="C10" s="1"/>
      <c r="D10" t="str">
        <f t="shared" si="0"/>
        <v/>
      </c>
      <c r="E10" t="str">
        <f t="shared" si="1"/>
        <v/>
      </c>
      <c r="K10" s="11"/>
      <c r="L10" s="11"/>
      <c r="M10" s="11"/>
      <c r="N10" s="11"/>
    </row>
    <row r="11" spans="1:14" x14ac:dyDescent="0.25">
      <c r="C11" s="1"/>
      <c r="D11" t="str">
        <f t="shared" si="0"/>
        <v/>
      </c>
      <c r="E11" t="str">
        <f t="shared" si="1"/>
        <v/>
      </c>
      <c r="K11" s="11"/>
      <c r="L11" s="11"/>
      <c r="M11" s="11"/>
      <c r="N11" s="11"/>
    </row>
    <row r="12" spans="1:14" x14ac:dyDescent="0.25">
      <c r="C12" s="1"/>
      <c r="D12" t="str">
        <f t="shared" si="0"/>
        <v/>
      </c>
      <c r="E12" t="str">
        <f t="shared" si="1"/>
        <v/>
      </c>
      <c r="K12" s="11"/>
      <c r="L12" s="11"/>
      <c r="M12" s="11"/>
      <c r="N12" s="11"/>
    </row>
    <row r="13" spans="1:14" x14ac:dyDescent="0.25">
      <c r="C13" s="1"/>
      <c r="D13" t="str">
        <f t="shared" si="0"/>
        <v/>
      </c>
      <c r="E13" t="str">
        <f t="shared" si="1"/>
        <v/>
      </c>
    </row>
    <row r="14" spans="1:14" x14ac:dyDescent="0.25">
      <c r="C14" s="1"/>
      <c r="D14" t="str">
        <f t="shared" si="0"/>
        <v/>
      </c>
      <c r="E14" t="str">
        <f t="shared" si="1"/>
        <v/>
      </c>
    </row>
    <row r="15" spans="1:14" x14ac:dyDescent="0.25">
      <c r="C15" s="1"/>
      <c r="D15" t="str">
        <f t="shared" si="0"/>
        <v/>
      </c>
      <c r="E15" t="str">
        <f t="shared" si="1"/>
        <v/>
      </c>
    </row>
    <row r="16" spans="1:14" x14ac:dyDescent="0.25">
      <c r="C16" s="1"/>
      <c r="D16" t="str">
        <f t="shared" si="0"/>
        <v/>
      </c>
      <c r="E16" t="str">
        <f t="shared" si="1"/>
        <v/>
      </c>
    </row>
    <row r="17" spans="3:5" x14ac:dyDescent="0.25">
      <c r="C17" s="1"/>
      <c r="D17" t="str">
        <f t="shared" si="0"/>
        <v/>
      </c>
      <c r="E17" t="str">
        <f t="shared" si="1"/>
        <v/>
      </c>
    </row>
    <row r="18" spans="3:5" x14ac:dyDescent="0.25">
      <c r="C18" s="1"/>
      <c r="D18" t="str">
        <f t="shared" si="0"/>
        <v/>
      </c>
      <c r="E18" t="str">
        <f t="shared" si="1"/>
        <v/>
      </c>
    </row>
    <row r="19" spans="3:5" x14ac:dyDescent="0.25">
      <c r="C19" s="1"/>
      <c r="D19" t="str">
        <f t="shared" si="0"/>
        <v/>
      </c>
      <c r="E19" t="str">
        <f t="shared" si="1"/>
        <v/>
      </c>
    </row>
    <row r="20" spans="3:5" x14ac:dyDescent="0.25">
      <c r="C20" s="1"/>
      <c r="D20" t="str">
        <f t="shared" si="0"/>
        <v/>
      </c>
      <c r="E20" t="str">
        <f t="shared" si="1"/>
        <v/>
      </c>
    </row>
    <row r="21" spans="3:5" x14ac:dyDescent="0.25">
      <c r="C21" s="1"/>
      <c r="D21" t="str">
        <f t="shared" si="0"/>
        <v/>
      </c>
      <c r="E21" t="str">
        <f t="shared" si="1"/>
        <v/>
      </c>
    </row>
    <row r="22" spans="3:5" x14ac:dyDescent="0.25">
      <c r="C22" s="1"/>
      <c r="D22" t="str">
        <f t="shared" si="0"/>
        <v/>
      </c>
      <c r="E22" t="str">
        <f t="shared" si="1"/>
        <v/>
      </c>
    </row>
    <row r="23" spans="3:5" x14ac:dyDescent="0.25">
      <c r="C23" s="1"/>
      <c r="D23" t="str">
        <f t="shared" si="0"/>
        <v/>
      </c>
      <c r="E23" t="str">
        <f t="shared" si="1"/>
        <v/>
      </c>
    </row>
    <row r="24" spans="3:5" x14ac:dyDescent="0.25">
      <c r="C24" s="1"/>
      <c r="D24" t="str">
        <f t="shared" si="0"/>
        <v/>
      </c>
      <c r="E24" t="str">
        <f t="shared" si="1"/>
        <v/>
      </c>
    </row>
    <row r="25" spans="3:5" x14ac:dyDescent="0.25">
      <c r="C25" s="1"/>
      <c r="D25" t="str">
        <f t="shared" si="0"/>
        <v/>
      </c>
      <c r="E25" t="str">
        <f t="shared" si="1"/>
        <v/>
      </c>
    </row>
    <row r="26" spans="3:5" x14ac:dyDescent="0.25">
      <c r="C26" s="1"/>
      <c r="D26" t="str">
        <f t="shared" si="0"/>
        <v/>
      </c>
      <c r="E26" t="str">
        <f t="shared" si="1"/>
        <v/>
      </c>
    </row>
    <row r="27" spans="3:5" x14ac:dyDescent="0.25">
      <c r="C27" s="1"/>
      <c r="D27" t="str">
        <f t="shared" si="0"/>
        <v/>
      </c>
      <c r="E27" t="str">
        <f t="shared" si="1"/>
        <v/>
      </c>
    </row>
    <row r="28" spans="3:5" x14ac:dyDescent="0.25">
      <c r="C28" s="1"/>
      <c r="D28" t="str">
        <f t="shared" si="0"/>
        <v/>
      </c>
      <c r="E28" t="str">
        <f t="shared" si="1"/>
        <v/>
      </c>
    </row>
    <row r="29" spans="3:5" x14ac:dyDescent="0.25">
      <c r="C29" s="1"/>
      <c r="D29" t="str">
        <f t="shared" si="0"/>
        <v/>
      </c>
      <c r="E29" t="str">
        <f t="shared" si="1"/>
        <v/>
      </c>
    </row>
    <row r="30" spans="3:5" x14ac:dyDescent="0.25">
      <c r="C30" s="1"/>
      <c r="D30" t="str">
        <f t="shared" si="0"/>
        <v/>
      </c>
      <c r="E30" t="str">
        <f t="shared" si="1"/>
        <v/>
      </c>
    </row>
    <row r="31" spans="3:5" x14ac:dyDescent="0.25">
      <c r="C31" s="1"/>
      <c r="D31" t="str">
        <f t="shared" si="0"/>
        <v/>
      </c>
      <c r="E31" t="str">
        <f t="shared" si="1"/>
        <v/>
      </c>
    </row>
    <row r="32" spans="3:5" x14ac:dyDescent="0.25">
      <c r="C32" s="1"/>
      <c r="D32" t="str">
        <f t="shared" si="0"/>
        <v/>
      </c>
      <c r="E32" t="str">
        <f t="shared" si="1"/>
        <v/>
      </c>
    </row>
    <row r="33" spans="3:5" x14ac:dyDescent="0.25">
      <c r="C33" s="1"/>
      <c r="D33" t="str">
        <f t="shared" si="0"/>
        <v/>
      </c>
      <c r="E33" t="str">
        <f t="shared" si="1"/>
        <v/>
      </c>
    </row>
    <row r="34" spans="3:5" x14ac:dyDescent="0.25">
      <c r="C34" s="1"/>
      <c r="D34" t="str">
        <f t="shared" si="0"/>
        <v/>
      </c>
      <c r="E34" t="str">
        <f t="shared" si="1"/>
        <v/>
      </c>
    </row>
    <row r="35" spans="3:5" x14ac:dyDescent="0.25">
      <c r="C35" s="1"/>
      <c r="D35" t="str">
        <f t="shared" si="0"/>
        <v/>
      </c>
      <c r="E35" t="str">
        <f t="shared" si="1"/>
        <v/>
      </c>
    </row>
    <row r="36" spans="3:5" x14ac:dyDescent="0.25">
      <c r="C36" s="1"/>
      <c r="D36" t="str">
        <f t="shared" si="0"/>
        <v/>
      </c>
      <c r="E36" t="str">
        <f t="shared" si="1"/>
        <v/>
      </c>
    </row>
    <row r="37" spans="3:5" x14ac:dyDescent="0.25">
      <c r="C37" s="1"/>
      <c r="D37" t="str">
        <f t="shared" si="0"/>
        <v/>
      </c>
      <c r="E37" t="str">
        <f t="shared" si="1"/>
        <v/>
      </c>
    </row>
    <row r="38" spans="3:5" x14ac:dyDescent="0.25">
      <c r="C38" s="1"/>
      <c r="D38" t="str">
        <f t="shared" si="0"/>
        <v/>
      </c>
      <c r="E38" t="str">
        <f t="shared" si="1"/>
        <v/>
      </c>
    </row>
    <row r="39" spans="3:5" x14ac:dyDescent="0.25">
      <c r="C39" s="1"/>
      <c r="D39" t="str">
        <f t="shared" si="0"/>
        <v/>
      </c>
      <c r="E39" t="str">
        <f t="shared" si="1"/>
        <v/>
      </c>
    </row>
    <row r="40" spans="3:5" x14ac:dyDescent="0.25">
      <c r="C40" s="1"/>
      <c r="D40" t="str">
        <f t="shared" si="0"/>
        <v/>
      </c>
      <c r="E40" t="str">
        <f t="shared" si="1"/>
        <v/>
      </c>
    </row>
    <row r="41" spans="3:5" x14ac:dyDescent="0.25">
      <c r="C41" s="1"/>
      <c r="D41" t="str">
        <f t="shared" si="0"/>
        <v/>
      </c>
      <c r="E41" t="str">
        <f t="shared" si="1"/>
        <v/>
      </c>
    </row>
    <row r="42" spans="3:5" x14ac:dyDescent="0.25">
      <c r="C42" s="1"/>
      <c r="D42" t="str">
        <f t="shared" si="0"/>
        <v/>
      </c>
      <c r="E42" t="str">
        <f t="shared" si="1"/>
        <v/>
      </c>
    </row>
    <row r="43" spans="3:5" x14ac:dyDescent="0.25">
      <c r="C43" s="1"/>
      <c r="D43" t="str">
        <f t="shared" si="0"/>
        <v/>
      </c>
      <c r="E43" t="str">
        <f t="shared" si="1"/>
        <v/>
      </c>
    </row>
    <row r="44" spans="3:5" x14ac:dyDescent="0.25">
      <c r="C44" s="1"/>
      <c r="D44" t="str">
        <f t="shared" si="0"/>
        <v/>
      </c>
      <c r="E44" t="str">
        <f t="shared" si="1"/>
        <v/>
      </c>
    </row>
    <row r="45" spans="3:5" x14ac:dyDescent="0.25">
      <c r="C45" s="1"/>
      <c r="D45" t="str">
        <f t="shared" si="0"/>
        <v/>
      </c>
      <c r="E45" t="str">
        <f t="shared" si="1"/>
        <v/>
      </c>
    </row>
    <row r="46" spans="3:5" x14ac:dyDescent="0.25">
      <c r="C46" s="1"/>
      <c r="D46" t="str">
        <f t="shared" si="0"/>
        <v/>
      </c>
      <c r="E46" t="str">
        <f t="shared" si="1"/>
        <v/>
      </c>
    </row>
    <row r="47" spans="3:5" x14ac:dyDescent="0.25">
      <c r="C47" s="1"/>
      <c r="D47" t="str">
        <f t="shared" si="0"/>
        <v/>
      </c>
      <c r="E47" t="str">
        <f t="shared" si="1"/>
        <v/>
      </c>
    </row>
    <row r="48" spans="3:5" x14ac:dyDescent="0.25">
      <c r="C48" s="1"/>
      <c r="D48" t="str">
        <f t="shared" si="0"/>
        <v/>
      </c>
      <c r="E48" t="str">
        <f t="shared" si="1"/>
        <v/>
      </c>
    </row>
    <row r="49" spans="3:5" x14ac:dyDescent="0.25">
      <c r="C49" s="1"/>
      <c r="D49" t="str">
        <f t="shared" si="0"/>
        <v/>
      </c>
      <c r="E49" t="str">
        <f t="shared" si="1"/>
        <v/>
      </c>
    </row>
    <row r="50" spans="3:5" x14ac:dyDescent="0.25">
      <c r="C50" s="1"/>
      <c r="D50" t="str">
        <f t="shared" si="0"/>
        <v/>
      </c>
      <c r="E50" t="str">
        <f t="shared" si="1"/>
        <v/>
      </c>
    </row>
    <row r="51" spans="3:5" x14ac:dyDescent="0.25">
      <c r="C51" s="1"/>
      <c r="D51" t="str">
        <f t="shared" si="0"/>
        <v/>
      </c>
      <c r="E51" t="str">
        <f t="shared" si="1"/>
        <v/>
      </c>
    </row>
    <row r="52" spans="3:5" x14ac:dyDescent="0.25">
      <c r="C52" s="1"/>
      <c r="D52" t="str">
        <f t="shared" si="0"/>
        <v/>
      </c>
      <c r="E52" t="str">
        <f t="shared" si="1"/>
        <v/>
      </c>
    </row>
    <row r="53" spans="3:5" x14ac:dyDescent="0.25">
      <c r="C53" s="1"/>
      <c r="D53" t="str">
        <f t="shared" si="0"/>
        <v/>
      </c>
      <c r="E53" t="str">
        <f t="shared" si="1"/>
        <v/>
      </c>
    </row>
    <row r="54" spans="3:5" x14ac:dyDescent="0.25">
      <c r="C54" s="1"/>
      <c r="D54" t="str">
        <f t="shared" si="0"/>
        <v/>
      </c>
      <c r="E54" t="str">
        <f t="shared" si="1"/>
        <v/>
      </c>
    </row>
    <row r="55" spans="3:5" x14ac:dyDescent="0.25">
      <c r="C55" s="1"/>
      <c r="D55" t="str">
        <f t="shared" si="0"/>
        <v/>
      </c>
      <c r="E55" t="str">
        <f t="shared" si="1"/>
        <v/>
      </c>
    </row>
    <row r="56" spans="3:5" x14ac:dyDescent="0.25">
      <c r="C56" s="1"/>
      <c r="D56" t="str">
        <f t="shared" si="0"/>
        <v/>
      </c>
      <c r="E56" t="str">
        <f t="shared" si="1"/>
        <v/>
      </c>
    </row>
    <row r="57" spans="3:5" x14ac:dyDescent="0.25">
      <c r="C57" s="1"/>
      <c r="D57" t="str">
        <f t="shared" si="0"/>
        <v/>
      </c>
      <c r="E57" t="str">
        <f t="shared" si="1"/>
        <v/>
      </c>
    </row>
    <row r="58" spans="3:5" x14ac:dyDescent="0.25">
      <c r="C58" s="1"/>
      <c r="D58" t="str">
        <f t="shared" si="0"/>
        <v/>
      </c>
      <c r="E58" t="str">
        <f t="shared" si="1"/>
        <v/>
      </c>
    </row>
    <row r="59" spans="3:5" x14ac:dyDescent="0.25">
      <c r="C59" s="1"/>
      <c r="D59" t="str">
        <f t="shared" si="0"/>
        <v/>
      </c>
      <c r="E59" t="str">
        <f t="shared" si="1"/>
        <v/>
      </c>
    </row>
    <row r="60" spans="3:5" x14ac:dyDescent="0.25">
      <c r="C60" s="1"/>
      <c r="D60" t="str">
        <f t="shared" si="0"/>
        <v/>
      </c>
      <c r="E60" t="str">
        <f t="shared" si="1"/>
        <v/>
      </c>
    </row>
    <row r="61" spans="3:5" x14ac:dyDescent="0.25">
      <c r="C61" s="1"/>
      <c r="D61" t="str">
        <f t="shared" si="0"/>
        <v/>
      </c>
      <c r="E61" t="str">
        <f t="shared" si="1"/>
        <v/>
      </c>
    </row>
    <row r="62" spans="3:5" x14ac:dyDescent="0.25">
      <c r="C62" s="1"/>
      <c r="D62" t="str">
        <f t="shared" si="0"/>
        <v/>
      </c>
      <c r="E62" t="str">
        <f t="shared" si="1"/>
        <v/>
      </c>
    </row>
    <row r="63" spans="3:5" x14ac:dyDescent="0.25">
      <c r="C63" s="1"/>
      <c r="D63" t="str">
        <f t="shared" si="0"/>
        <v/>
      </c>
      <c r="E63" t="str">
        <f t="shared" si="1"/>
        <v/>
      </c>
    </row>
    <row r="64" spans="3:5" x14ac:dyDescent="0.25">
      <c r="C64" s="1"/>
      <c r="D64" t="str">
        <f t="shared" si="0"/>
        <v/>
      </c>
      <c r="E64" t="str">
        <f t="shared" si="1"/>
        <v/>
      </c>
    </row>
    <row r="65" spans="3:5" x14ac:dyDescent="0.25">
      <c r="C65" s="1"/>
      <c r="D65" t="str">
        <f t="shared" si="0"/>
        <v/>
      </c>
      <c r="E65" t="str">
        <f t="shared" si="1"/>
        <v/>
      </c>
    </row>
    <row r="66" spans="3:5" x14ac:dyDescent="0.25">
      <c r="C66" s="1"/>
      <c r="D66" t="str">
        <f t="shared" si="0"/>
        <v/>
      </c>
      <c r="E66" t="str">
        <f t="shared" si="1"/>
        <v/>
      </c>
    </row>
    <row r="67" spans="3:5" x14ac:dyDescent="0.25">
      <c r="C67" s="1"/>
      <c r="D67" t="str">
        <f t="shared" ref="D67:D100" si="2">IF(C67&lt;&gt;"",WEEKNUM(C67,2)-1,"")</f>
        <v/>
      </c>
      <c r="E67" t="str">
        <f t="shared" ref="E67:E100" si="3">IF(C67&lt;&gt;"",TEXT(C67,"nnnn"),"")</f>
        <v/>
      </c>
    </row>
    <row r="68" spans="3:5" x14ac:dyDescent="0.25">
      <c r="C68" s="1"/>
      <c r="D68" t="str">
        <f t="shared" si="2"/>
        <v/>
      </c>
      <c r="E68" t="str">
        <f t="shared" si="3"/>
        <v/>
      </c>
    </row>
    <row r="69" spans="3:5" x14ac:dyDescent="0.25">
      <c r="C69" s="1"/>
      <c r="D69" t="str">
        <f t="shared" si="2"/>
        <v/>
      </c>
      <c r="E69" t="str">
        <f t="shared" si="3"/>
        <v/>
      </c>
    </row>
    <row r="70" spans="3:5" x14ac:dyDescent="0.25">
      <c r="C70" s="1"/>
      <c r="D70" t="str">
        <f t="shared" si="2"/>
        <v/>
      </c>
      <c r="E70" t="str">
        <f t="shared" si="3"/>
        <v/>
      </c>
    </row>
    <row r="71" spans="3:5" x14ac:dyDescent="0.25">
      <c r="C71" s="1"/>
      <c r="D71" t="str">
        <f t="shared" si="2"/>
        <v/>
      </c>
      <c r="E71" t="str">
        <f t="shared" si="3"/>
        <v/>
      </c>
    </row>
    <row r="72" spans="3:5" x14ac:dyDescent="0.25">
      <c r="C72" s="1"/>
      <c r="D72" t="str">
        <f t="shared" si="2"/>
        <v/>
      </c>
      <c r="E72" t="str">
        <f t="shared" si="3"/>
        <v/>
      </c>
    </row>
    <row r="73" spans="3:5" x14ac:dyDescent="0.25">
      <c r="C73" s="1"/>
      <c r="D73" t="str">
        <f t="shared" si="2"/>
        <v/>
      </c>
      <c r="E73" t="str">
        <f t="shared" si="3"/>
        <v/>
      </c>
    </row>
    <row r="74" spans="3:5" x14ac:dyDescent="0.25">
      <c r="C74" s="1"/>
      <c r="D74" t="str">
        <f t="shared" si="2"/>
        <v/>
      </c>
      <c r="E74" t="str">
        <f t="shared" si="3"/>
        <v/>
      </c>
    </row>
    <row r="75" spans="3:5" x14ac:dyDescent="0.25">
      <c r="C75" s="1"/>
      <c r="D75" t="str">
        <f t="shared" si="2"/>
        <v/>
      </c>
      <c r="E75" t="str">
        <f t="shared" si="3"/>
        <v/>
      </c>
    </row>
    <row r="76" spans="3:5" x14ac:dyDescent="0.25">
      <c r="C76" s="1"/>
      <c r="D76" t="str">
        <f t="shared" si="2"/>
        <v/>
      </c>
      <c r="E76" t="str">
        <f t="shared" si="3"/>
        <v/>
      </c>
    </row>
    <row r="77" spans="3:5" x14ac:dyDescent="0.25">
      <c r="C77" s="1"/>
      <c r="D77" t="str">
        <f t="shared" si="2"/>
        <v/>
      </c>
      <c r="E77" t="str">
        <f t="shared" si="3"/>
        <v/>
      </c>
    </row>
    <row r="78" spans="3:5" x14ac:dyDescent="0.25">
      <c r="C78" s="1"/>
      <c r="D78" t="str">
        <f t="shared" si="2"/>
        <v/>
      </c>
      <c r="E78" t="str">
        <f t="shared" si="3"/>
        <v/>
      </c>
    </row>
    <row r="79" spans="3:5" x14ac:dyDescent="0.25">
      <c r="C79" s="1"/>
      <c r="D79" t="str">
        <f t="shared" si="2"/>
        <v/>
      </c>
      <c r="E79" t="str">
        <f t="shared" si="3"/>
        <v/>
      </c>
    </row>
    <row r="80" spans="3:5" x14ac:dyDescent="0.25">
      <c r="C80" s="1"/>
      <c r="D80" t="str">
        <f t="shared" si="2"/>
        <v/>
      </c>
      <c r="E80" t="str">
        <f t="shared" si="3"/>
        <v/>
      </c>
    </row>
    <row r="81" spans="3:5" x14ac:dyDescent="0.25">
      <c r="C81" s="1"/>
      <c r="D81" t="str">
        <f t="shared" si="2"/>
        <v/>
      </c>
      <c r="E81" t="str">
        <f t="shared" si="3"/>
        <v/>
      </c>
    </row>
    <row r="82" spans="3:5" x14ac:dyDescent="0.25">
      <c r="C82" s="1"/>
      <c r="D82" t="str">
        <f t="shared" si="2"/>
        <v/>
      </c>
      <c r="E82" t="str">
        <f t="shared" si="3"/>
        <v/>
      </c>
    </row>
    <row r="83" spans="3:5" x14ac:dyDescent="0.25">
      <c r="C83" s="1"/>
      <c r="D83" t="str">
        <f t="shared" si="2"/>
        <v/>
      </c>
      <c r="E83" t="str">
        <f t="shared" si="3"/>
        <v/>
      </c>
    </row>
    <row r="84" spans="3:5" x14ac:dyDescent="0.25">
      <c r="C84" s="1"/>
      <c r="D84" t="str">
        <f t="shared" si="2"/>
        <v/>
      </c>
      <c r="E84" t="str">
        <f t="shared" si="3"/>
        <v/>
      </c>
    </row>
    <row r="85" spans="3:5" x14ac:dyDescent="0.25">
      <c r="C85" s="1"/>
      <c r="D85" t="str">
        <f t="shared" si="2"/>
        <v/>
      </c>
      <c r="E85" t="str">
        <f t="shared" si="3"/>
        <v/>
      </c>
    </row>
    <row r="86" spans="3:5" x14ac:dyDescent="0.25">
      <c r="C86" s="1"/>
      <c r="D86" t="str">
        <f t="shared" si="2"/>
        <v/>
      </c>
      <c r="E86" t="str">
        <f t="shared" si="3"/>
        <v/>
      </c>
    </row>
    <row r="87" spans="3:5" x14ac:dyDescent="0.25">
      <c r="C87" s="1"/>
      <c r="D87" t="str">
        <f t="shared" si="2"/>
        <v/>
      </c>
      <c r="E87" t="str">
        <f t="shared" si="3"/>
        <v/>
      </c>
    </row>
    <row r="88" spans="3:5" x14ac:dyDescent="0.25">
      <c r="C88" s="1"/>
      <c r="D88" t="str">
        <f t="shared" si="2"/>
        <v/>
      </c>
      <c r="E88" t="str">
        <f t="shared" si="3"/>
        <v/>
      </c>
    </row>
    <row r="89" spans="3:5" x14ac:dyDescent="0.25">
      <c r="C89" s="1"/>
      <c r="D89" t="str">
        <f t="shared" si="2"/>
        <v/>
      </c>
      <c r="E89" t="str">
        <f t="shared" si="3"/>
        <v/>
      </c>
    </row>
    <row r="90" spans="3:5" x14ac:dyDescent="0.25">
      <c r="C90" s="1"/>
      <c r="D90" t="str">
        <f t="shared" si="2"/>
        <v/>
      </c>
      <c r="E90" t="str">
        <f t="shared" si="3"/>
        <v/>
      </c>
    </row>
    <row r="91" spans="3:5" x14ac:dyDescent="0.25">
      <c r="C91" s="1"/>
      <c r="D91" t="str">
        <f t="shared" si="2"/>
        <v/>
      </c>
      <c r="E91" t="str">
        <f t="shared" si="3"/>
        <v/>
      </c>
    </row>
    <row r="92" spans="3:5" x14ac:dyDescent="0.25">
      <c r="C92" s="1"/>
      <c r="D92" t="str">
        <f t="shared" si="2"/>
        <v/>
      </c>
      <c r="E92" t="str">
        <f t="shared" si="3"/>
        <v/>
      </c>
    </row>
    <row r="93" spans="3:5" x14ac:dyDescent="0.25">
      <c r="C93" s="1"/>
      <c r="D93" t="str">
        <f t="shared" si="2"/>
        <v/>
      </c>
      <c r="E93" t="str">
        <f t="shared" si="3"/>
        <v/>
      </c>
    </row>
    <row r="94" spans="3:5" x14ac:dyDescent="0.25">
      <c r="C94" s="1"/>
      <c r="D94" t="str">
        <f t="shared" si="2"/>
        <v/>
      </c>
      <c r="E94" t="str">
        <f t="shared" si="3"/>
        <v/>
      </c>
    </row>
    <row r="95" spans="3:5" x14ac:dyDescent="0.25">
      <c r="C95" s="1"/>
      <c r="D95" t="str">
        <f t="shared" si="2"/>
        <v/>
      </c>
      <c r="E95" t="str">
        <f t="shared" si="3"/>
        <v/>
      </c>
    </row>
    <row r="96" spans="3:5" x14ac:dyDescent="0.25">
      <c r="C96" s="1"/>
      <c r="D96" t="str">
        <f t="shared" si="2"/>
        <v/>
      </c>
      <c r="E96" t="str">
        <f t="shared" si="3"/>
        <v/>
      </c>
    </row>
    <row r="97" spans="3:5" x14ac:dyDescent="0.25">
      <c r="C97" s="1"/>
      <c r="D97" t="str">
        <f t="shared" si="2"/>
        <v/>
      </c>
      <c r="E97" t="str">
        <f t="shared" si="3"/>
        <v/>
      </c>
    </row>
    <row r="98" spans="3:5" x14ac:dyDescent="0.25">
      <c r="C98" s="1"/>
      <c r="D98" t="str">
        <f t="shared" si="2"/>
        <v/>
      </c>
      <c r="E98" t="str">
        <f t="shared" si="3"/>
        <v/>
      </c>
    </row>
    <row r="99" spans="3:5" x14ac:dyDescent="0.25">
      <c r="C99" s="1"/>
      <c r="D99" t="str">
        <f t="shared" si="2"/>
        <v/>
      </c>
      <c r="E99" t="str">
        <f t="shared" si="3"/>
        <v/>
      </c>
    </row>
    <row r="100" spans="3:5" x14ac:dyDescent="0.25">
      <c r="C100" s="1"/>
      <c r="D100" t="str">
        <f t="shared" si="2"/>
        <v/>
      </c>
      <c r="E100" t="str">
        <f t="shared" si="3"/>
        <v/>
      </c>
    </row>
  </sheetData>
  <autoFilter ref="A1:L100" xr:uid="{00000000-0009-0000-0000-000000000000}"/>
  <phoneticPr fontId="5" type="noConversion"/>
  <dataValidations xWindow="1115" yWindow="343" count="3">
    <dataValidation allowBlank="1" showInputMessage="1" showErrorMessage="1" promptTitle="Help" prompt="A termék pontos típusa" sqref="J324:J1048576" xr:uid="{00000000-0002-0000-0000-000000000000}"/>
    <dataValidation allowBlank="1" showInputMessage="1" showErrorMessage="1" promptTitle="Help" prompt="Pl. MM Árkád" sqref="B2:B1048576" xr:uid="{00000000-0002-0000-0000-000001000000}"/>
    <dataValidation allowBlank="1" showErrorMessage="1" sqref="C1:C1048576" xr:uid="{688B7D35-200C-4FB6-B497-8127E316EED5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1115" yWindow="343" count="2">
        <x14:dataValidation type="list" allowBlank="1" showInputMessage="1" showErrorMessage="1" promptTitle="Help" prompt="A termék pontos típusa" xr:uid="{A3EEA80D-F104-4521-8BDD-15BA1CB588ED}">
          <x14:formula1>
            <xm:f>Fókusz!$A$28:$A$52</xm:f>
          </x14:formula1>
          <xm:sqref>J29:J323 J3:J26</xm:sqref>
        </x14:dataValidation>
        <x14:dataValidation type="list" allowBlank="1" showInputMessage="1" showErrorMessage="1" promptTitle="Help" prompt="A termék pontos típusa" xr:uid="{C43E92A0-2B6D-4AEC-B2D0-8518E36223DD}">
          <x14:formula1>
            <xm:f>Fókusz!$A$2:$A$59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A95E-01AB-43B7-B325-96AA840852BC}">
  <dimension ref="A1:I59"/>
  <sheetViews>
    <sheetView tabSelected="1" topLeftCell="A34" workbookViewId="0">
      <selection activeCell="E29" sqref="E29"/>
    </sheetView>
  </sheetViews>
  <sheetFormatPr defaultRowHeight="15" x14ac:dyDescent="0.25"/>
  <cols>
    <col min="1" max="1" width="50" bestFit="1" customWidth="1"/>
  </cols>
  <sheetData>
    <row r="1" spans="1:1" x14ac:dyDescent="0.25">
      <c r="A1" s="6" t="s">
        <v>14</v>
      </c>
    </row>
    <row r="2" spans="1:1" x14ac:dyDescent="0.25">
      <c r="A2" s="8" t="s">
        <v>57</v>
      </c>
    </row>
    <row r="3" spans="1:1" x14ac:dyDescent="0.25">
      <c r="A3" s="8" t="s">
        <v>58</v>
      </c>
    </row>
    <row r="4" spans="1:1" x14ac:dyDescent="0.25">
      <c r="A4" s="8" t="s">
        <v>33</v>
      </c>
    </row>
    <row r="5" spans="1:1" x14ac:dyDescent="0.25">
      <c r="A5" s="8" t="s">
        <v>34</v>
      </c>
    </row>
    <row r="6" spans="1:1" x14ac:dyDescent="0.25">
      <c r="A6" s="8" t="s">
        <v>35</v>
      </c>
    </row>
    <row r="7" spans="1:1" x14ac:dyDescent="0.25">
      <c r="A7" s="8" t="s">
        <v>36</v>
      </c>
    </row>
    <row r="8" spans="1:1" x14ac:dyDescent="0.25">
      <c r="A8" s="8" t="s">
        <v>37</v>
      </c>
    </row>
    <row r="9" spans="1:1" x14ac:dyDescent="0.25">
      <c r="A9" s="8" t="s">
        <v>31</v>
      </c>
    </row>
    <row r="10" spans="1:1" x14ac:dyDescent="0.25">
      <c r="A10" s="8" t="s">
        <v>32</v>
      </c>
    </row>
    <row r="11" spans="1:1" x14ac:dyDescent="0.25">
      <c r="A11" s="8" t="s">
        <v>38</v>
      </c>
    </row>
    <row r="12" spans="1:1" x14ac:dyDescent="0.25">
      <c r="A12" s="8" t="s">
        <v>39</v>
      </c>
    </row>
    <row r="13" spans="1:1" x14ac:dyDescent="0.25">
      <c r="A13" s="8" t="s">
        <v>59</v>
      </c>
    </row>
    <row r="14" spans="1:1" x14ac:dyDescent="0.25">
      <c r="A14" s="8" t="s">
        <v>52</v>
      </c>
    </row>
    <row r="15" spans="1:1" x14ac:dyDescent="0.25">
      <c r="A15" s="8" t="s">
        <v>40</v>
      </c>
    </row>
    <row r="16" spans="1:1" x14ac:dyDescent="0.25">
      <c r="A16" s="8" t="s">
        <v>41</v>
      </c>
    </row>
    <row r="17" spans="1:1" x14ac:dyDescent="0.25">
      <c r="A17" s="8" t="s">
        <v>42</v>
      </c>
    </row>
    <row r="18" spans="1:1" x14ac:dyDescent="0.25">
      <c r="A18" s="8" t="s">
        <v>53</v>
      </c>
    </row>
    <row r="19" spans="1:1" x14ac:dyDescent="0.25">
      <c r="A19" s="8" t="s">
        <v>54</v>
      </c>
    </row>
    <row r="20" spans="1:1" x14ac:dyDescent="0.25">
      <c r="A20" s="8" t="s">
        <v>60</v>
      </c>
    </row>
    <row r="21" spans="1:1" x14ac:dyDescent="0.25">
      <c r="A21" s="8" t="s">
        <v>61</v>
      </c>
    </row>
    <row r="22" spans="1:1" x14ac:dyDescent="0.25">
      <c r="A22" s="8" t="s">
        <v>62</v>
      </c>
    </row>
    <row r="23" spans="1:1" x14ac:dyDescent="0.25">
      <c r="A23" s="8" t="s">
        <v>63</v>
      </c>
    </row>
    <row r="24" spans="1:1" x14ac:dyDescent="0.25">
      <c r="A24" s="8" t="s">
        <v>64</v>
      </c>
    </row>
    <row r="25" spans="1:1" x14ac:dyDescent="0.25">
      <c r="A25" s="8" t="s">
        <v>65</v>
      </c>
    </row>
    <row r="26" spans="1:1" x14ac:dyDescent="0.25">
      <c r="A26" s="8" t="s">
        <v>66</v>
      </c>
    </row>
    <row r="27" spans="1:1" x14ac:dyDescent="0.25">
      <c r="A27" s="8" t="s">
        <v>67</v>
      </c>
    </row>
    <row r="28" spans="1:1" x14ac:dyDescent="0.25">
      <c r="A28" s="7" t="s">
        <v>68</v>
      </c>
    </row>
    <row r="29" spans="1:1" x14ac:dyDescent="0.25">
      <c r="A29" s="8" t="s">
        <v>51</v>
      </c>
    </row>
    <row r="30" spans="1:1" x14ac:dyDescent="0.25">
      <c r="A30" s="8" t="s">
        <v>69</v>
      </c>
    </row>
    <row r="31" spans="1:1" x14ac:dyDescent="0.25">
      <c r="A31" s="8" t="s">
        <v>55</v>
      </c>
    </row>
    <row r="32" spans="1:1" x14ac:dyDescent="0.25">
      <c r="A32" s="8" t="s">
        <v>49</v>
      </c>
    </row>
    <row r="33" spans="1:6" x14ac:dyDescent="0.25">
      <c r="A33" s="8" t="s">
        <v>50</v>
      </c>
    </row>
    <row r="34" spans="1:6" x14ac:dyDescent="0.25">
      <c r="A34" s="8" t="s">
        <v>70</v>
      </c>
    </row>
    <row r="35" spans="1:6" x14ac:dyDescent="0.25">
      <c r="A35" s="8" t="s">
        <v>71</v>
      </c>
    </row>
    <row r="36" spans="1:6" x14ac:dyDescent="0.25">
      <c r="A36" s="8" t="s">
        <v>72</v>
      </c>
    </row>
    <row r="37" spans="1:6" x14ac:dyDescent="0.25">
      <c r="A37" s="8" t="s">
        <v>46</v>
      </c>
    </row>
    <row r="38" spans="1:6" x14ac:dyDescent="0.25">
      <c r="A38" s="8" t="s">
        <v>47</v>
      </c>
    </row>
    <row r="39" spans="1:6" x14ac:dyDescent="0.25">
      <c r="A39" s="8" t="s">
        <v>48</v>
      </c>
    </row>
    <row r="40" spans="1:6" x14ac:dyDescent="0.25">
      <c r="A40" s="3" t="s">
        <v>15</v>
      </c>
    </row>
    <row r="41" spans="1:6" x14ac:dyDescent="0.25">
      <c r="A41" s="3" t="s">
        <v>16</v>
      </c>
    </row>
    <row r="42" spans="1:6" x14ac:dyDescent="0.25">
      <c r="A42" s="3" t="s">
        <v>73</v>
      </c>
    </row>
    <row r="43" spans="1:6" x14ac:dyDescent="0.25">
      <c r="A43" s="3" t="s">
        <v>74</v>
      </c>
    </row>
    <row r="44" spans="1:6" x14ac:dyDescent="0.25">
      <c r="A44" s="3" t="s">
        <v>43</v>
      </c>
    </row>
    <row r="45" spans="1:6" x14ac:dyDescent="0.25">
      <c r="A45" s="3" t="s">
        <v>44</v>
      </c>
    </row>
    <row r="46" spans="1:6" x14ac:dyDescent="0.25">
      <c r="A46" s="8" t="s">
        <v>45</v>
      </c>
    </row>
    <row r="47" spans="1:6" x14ac:dyDescent="0.25">
      <c r="A47" s="8" t="s">
        <v>56</v>
      </c>
      <c r="F47" s="9"/>
    </row>
    <row r="48" spans="1:6" x14ac:dyDescent="0.25">
      <c r="A48" s="8" t="s">
        <v>17</v>
      </c>
      <c r="F48" s="9"/>
    </row>
    <row r="49" spans="1:9" x14ac:dyDescent="0.25">
      <c r="A49" s="8" t="s">
        <v>18</v>
      </c>
      <c r="I49" s="2"/>
    </row>
    <row r="50" spans="1:9" x14ac:dyDescent="0.25">
      <c r="A50" s="8" t="s">
        <v>19</v>
      </c>
    </row>
    <row r="51" spans="1:9" x14ac:dyDescent="0.25">
      <c r="A51" s="8" t="s">
        <v>20</v>
      </c>
    </row>
    <row r="52" spans="1:9" x14ac:dyDescent="0.25">
      <c r="A52" s="8" t="s">
        <v>75</v>
      </c>
      <c r="F52" s="9"/>
    </row>
    <row r="53" spans="1:9" x14ac:dyDescent="0.25">
      <c r="A53" s="3" t="s">
        <v>76</v>
      </c>
    </row>
    <row r="54" spans="1:9" x14ac:dyDescent="0.25">
      <c r="A54" s="3" t="s">
        <v>77</v>
      </c>
    </row>
    <row r="55" spans="1:9" x14ac:dyDescent="0.25">
      <c r="A55" s="3" t="s">
        <v>78</v>
      </c>
    </row>
    <row r="56" spans="1:9" x14ac:dyDescent="0.25">
      <c r="A56" s="3" t="s">
        <v>79</v>
      </c>
    </row>
    <row r="57" spans="1:9" x14ac:dyDescent="0.25">
      <c r="A57" s="3" t="s">
        <v>26</v>
      </c>
    </row>
    <row r="58" spans="1:9" x14ac:dyDescent="0.25">
      <c r="A58" s="3" t="s">
        <v>28</v>
      </c>
    </row>
    <row r="59" spans="1:9" x14ac:dyDescent="0.25">
      <c r="A59" s="3" t="s">
        <v>27</v>
      </c>
    </row>
  </sheetData>
  <phoneticPr fontId="5" type="noConversion"/>
  <dataValidations count="1">
    <dataValidation type="list" allowBlank="1" showInputMessage="1" showErrorMessage="1" promptTitle="Help" prompt="A termék pontos típusa" sqref="J49" xr:uid="{A3EEA80D-F104-4521-8BDD-15BA1CB588ED}">
      <formula1>$A$28:$A$52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Riport</vt:lpstr>
      <vt:lpstr>Fókusz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</dc:creator>
  <cp:lastModifiedBy>Bálint Mészáros</cp:lastModifiedBy>
  <dcterms:created xsi:type="dcterms:W3CDTF">2016-11-09T10:53:45Z</dcterms:created>
  <dcterms:modified xsi:type="dcterms:W3CDTF">2026-02-04T09:35:59Z</dcterms:modified>
</cp:coreProperties>
</file>